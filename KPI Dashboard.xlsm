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uhsd210-my.sharepoint.com/personal/rwaltiere_phoenixunion_org/Documents/Documents/"/>
    </mc:Choice>
  </mc:AlternateContent>
  <xr:revisionPtr revIDLastSave="211" documentId="8_{2148E1B4-69FA-4B42-935F-365D22F2788E}" xr6:coauthVersionLast="47" xr6:coauthVersionMax="47" xr10:uidLastSave="{AF935D24-1629-47AD-B4B5-D4EAD00D6414}"/>
  <bookViews>
    <workbookView xWindow="28680" yWindow="-120" windowWidth="29040" windowHeight="15720" activeTab="1" xr2:uid="{734BC924-352A-43DB-B62A-B91BF95DD589}"/>
  </bookViews>
  <sheets>
    <sheet name="KPI Data" sheetId="2" r:id="rId1"/>
    <sheet name="Dashboard" sheetId="1" r:id="rId2"/>
  </sheets>
  <definedNames>
    <definedName name="ExternalData_1" localSheetId="0" hidden="1">'KPI Data'!$A$1:$J$21</definedName>
    <definedName name="Planned_Units">'KPI Data'!$E1048567:$E89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1" i="1" l="1" a="1"/>
  <c r="A1" i="1" s="1"/>
  <c r="A12" i="1" a="1"/>
  <c r="B5" i="1"/>
  <c r="B7" i="1"/>
  <c r="B6" i="1"/>
  <c r="B3" i="1"/>
  <c r="B2" i="1"/>
  <c r="B4" i="1" l="1"/>
  <c r="G13" i="1"/>
  <c r="G14" i="1"/>
  <c r="G15" i="1"/>
  <c r="A12" i="1"/>
  <c r="G12" i="1" s="1"/>
  <c r="F13" i="1"/>
  <c r="F14" i="1"/>
  <c r="F15" i="1"/>
  <c r="D14" i="1"/>
  <c r="D15" i="1"/>
  <c r="C13" i="1"/>
  <c r="D13" i="1"/>
  <c r="C14" i="1"/>
  <c r="C15" i="1"/>
  <c r="B14" i="1" a="1"/>
  <c r="B14" i="1" s="1"/>
  <c r="B15" i="1" a="1"/>
  <c r="B15" i="1" s="1"/>
  <c r="B13" i="1" a="1"/>
  <c r="B13" i="1" s="1"/>
  <c r="B12" i="1" l="1" a="1"/>
  <c r="B12" i="1" s="1"/>
  <c r="C12" i="1"/>
  <c r="D12" i="1"/>
  <c r="F12" i="1"/>
  <c r="E14" i="1"/>
  <c r="E15" i="1"/>
  <c r="E13" i="1"/>
  <c r="E1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29D114-2DDE-4D68-B603-00CF80C35E64}" keepAlive="1" name="Query - KPI Data" description="Connection to the 'KPI Data' query in the workbook." type="5" refreshedVersion="8" background="1" saveData="1">
    <dbPr connection="Provider=Microsoft.Mashup.OleDb.1;Data Source=$Workbook$;Location=&quot;KPI Data&quot;;Extended Properties=&quot;&quot;" command="SELECT * FROM [KPI Data]"/>
  </connection>
  <connection id="2" xr16:uid="{B1905A39-1A8E-4E4E-B8B7-1BB13DB13215}" keepAlive="1" name="Query - KPI Data (2)" description="Connection to the 'KPI Data (2)' query in the workbook." type="5" refreshedVersion="8" background="1" saveData="1">
    <dbPr connection="Provider=Microsoft.Mashup.OleDb.1;Data Source=$Workbook$;Location=&quot;KPI Data (2)&quot;;Extended Properties=&quot;&quot;" command="SELECT * FROM [KPI Data (2)]"/>
  </connection>
  <connection id="3" xr16:uid="{780CF32F-9CD7-4292-9BC2-5D354F568220}" keepAlive="1" name="Query - KPI Data (3)" description="Connection to the 'KPI Data (3)' query in the workbook." type="5" refreshedVersion="8" background="1" saveData="1">
    <dbPr connection="Provider=Microsoft.Mashup.OleDb.1;Data Source=$Workbook$;Location=&quot;KPI Data (3)&quot;;Extended Properties=&quot;&quot;" command="SELECT * FROM [KPI Data (3)]"/>
  </connection>
  <connection id="4" xr16:uid="{50B96B9A-DC75-4AA9-A6F7-5317D4524605}" keepAlive="1" name="Query - KPI Data (4)" description="Connection to the 'KPI Data (4)' query in the workbook." type="5" refreshedVersion="8" background="1" saveData="1">
    <dbPr connection="Provider=Microsoft.Mashup.OleDb.1;Data Source=$Workbook$;Location=&quot;KPI Data (4)&quot;;Extended Properties=&quot;&quot;" command="SELECT * FROM [KPI Data (4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<sst xmlns="http://schemas.openxmlformats.org/spreadsheetml/2006/main" count="124" uniqueCount="34">
  <si>
    <t>Date</t>
  </si>
  <si>
    <t>Shift</t>
  </si>
  <si>
    <t>Line</t>
  </si>
  <si>
    <t>Product</t>
  </si>
  <si>
    <t>Planned Units</t>
  </si>
  <si>
    <t>Actual Units</t>
  </si>
  <si>
    <t>Defect Count</t>
  </si>
  <si>
    <t>Downtime Min</t>
  </si>
  <si>
    <t>Operator</t>
  </si>
  <si>
    <t>Status</t>
  </si>
  <si>
    <t>Day</t>
  </si>
  <si>
    <t>L1</t>
  </si>
  <si>
    <t>N5-Alpha</t>
  </si>
  <si>
    <t>J.Smith</t>
  </si>
  <si>
    <t>Normal</t>
  </si>
  <si>
    <t>L2</t>
  </si>
  <si>
    <t>N4-Beta</t>
  </si>
  <si>
    <t>A.Lee</t>
  </si>
  <si>
    <t>Alert</t>
  </si>
  <si>
    <t>Night</t>
  </si>
  <si>
    <t>R.Jones</t>
  </si>
  <si>
    <t>L3</t>
  </si>
  <si>
    <t>N3-Gamma</t>
  </si>
  <si>
    <t>M.Chen</t>
  </si>
  <si>
    <t>Critical</t>
  </si>
  <si>
    <t>Total Planned Units</t>
  </si>
  <si>
    <t>Total Actual Units</t>
  </si>
  <si>
    <t>Overall Efficiency</t>
  </si>
  <si>
    <t>Total Defects</t>
  </si>
  <si>
    <t>Total Downtime</t>
  </si>
  <si>
    <t>Critical Alerts</t>
  </si>
  <si>
    <t>Operator Summary</t>
  </si>
  <si>
    <t>Name</t>
  </si>
  <si>
    <t>Line(s)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</si>
</sst>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indexed="16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ECDFF5"/>
        <bgColor indexed="64"/>
      </patternFill>
    </fill>
    <fill>
      <patternFill patternType="solid">
        <fgColor rgb="FFFBFAE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10" fontId="0" fillId="0" borderId="0" xfId="0" applyNumberFormat="1"/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0" fillId="0" borderId="1" xfId="0" applyBorder="1"/>
    <xf numFmtId="10" fontId="0" fillId="0" borderId="1" xfId="0" applyNumberFormat="1" applyBorder="1"/>
    <xf numFmtId="0" fontId="1" fillId="0" borderId="2" xfId="0" applyFont="1" applyBorder="1" applyAlignment="1">
      <alignment horizontal="center"/>
    </xf>
    <xf numFmtId="0" fontId="1" fillId="3" borderId="1" xfId="0" applyFont="1" applyFill="1" applyBorder="1" applyAlignment="1">
      <alignment horizontal="right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</cellXfs>
  <cellStyles count="1">
    <cellStyle name="Normal" xfId="0" builtinId="0"/>
  </cellStyles>
  <dxfs count="14">
    <dxf>
      <fill>
        <patternFill>
          <bgColor rgb="FFFF4747"/>
        </patternFill>
      </fill>
    </dxf>
    <dxf>
      <fill>
        <patternFill>
          <bgColor rgb="FFFF4747"/>
        </patternFill>
      </fill>
    </dxf>
    <dxf>
      <fill>
        <patternFill>
          <bgColor rgb="FFFF4747"/>
        </patternFill>
      </fill>
    </dxf>
    <dxf>
      <fill>
        <patternFill>
          <bgColor rgb="FFF9FD5D"/>
        </patternFill>
      </fill>
    </dxf>
    <dxf>
      <font>
        <color auto="1"/>
      </font>
      <fill>
        <patternFill>
          <bgColor rgb="FF33FF8F"/>
        </patternFill>
      </fill>
    </dxf>
    <dxf>
      <font>
        <color auto="1"/>
      </font>
      <fill>
        <patternFill>
          <bgColor rgb="FF33FF8F"/>
        </patternFill>
      </fill>
    </dxf>
    <dxf>
      <fill>
        <patternFill>
          <bgColor rgb="FFF9FD5D"/>
        </patternFill>
      </fill>
    </dxf>
    <dxf>
      <fill>
        <patternFill>
          <bgColor rgb="FFFF4747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</dxfs>
  <tableStyles count="0" defaultTableStyle="TableStyleMedium2" defaultPivotStyle="PivotStyleLight16"/>
  <colors>
    <mruColors>
      <color rgb="FFFBFAE2"/>
      <color rgb="FFECDFF5"/>
      <color rgb="FFC59EE2"/>
      <color rgb="FFFF4747"/>
      <color rgb="FFF9FD5D"/>
      <color rgb="FFFCFEA0"/>
      <color rgb="FFFEDA02"/>
      <color rgb="FFFEBB6A"/>
      <color rgb="FFFFDA65"/>
      <color rgb="FF33F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Total Defects</a:t>
            </a:r>
            <a:r>
              <a:rPr lang="en-US" sz="1400" baseline="0"/>
              <a:t> </a:t>
            </a:r>
            <a:r>
              <a:rPr lang="en-US" sz="1400"/>
              <a:t>by Line</a:t>
            </a:r>
          </a:p>
        </c:rich>
      </c:tx>
      <c:layout>
        <c:manualLayout>
          <c:xMode val="edge"/>
          <c:yMode val="edge"/>
          <c:x val="0.30301832814191942"/>
          <c:y val="0.142128649303452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247594050743651E-2"/>
          <c:y val="0.29241574803149606"/>
          <c:w val="0.89030796150481195"/>
          <c:h val="0.47657565112053296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L1</c:v>
              </c:pt>
              <c:pt idx="1">
                <c:v>L2</c:v>
              </c:pt>
              <c:pt idx="2">
                <c:v>L3</c:v>
              </c:pt>
            </c:strLit>
          </c:cat>
          <c:val>
            <c:numLit>
              <c:formatCode>General</c:formatCode>
              <c:ptCount val="3"/>
              <c:pt idx="0">
                <c:v>96</c:v>
              </c:pt>
              <c:pt idx="1">
                <c:v>39</c:v>
              </c:pt>
              <c:pt idx="2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0-E2DF-4AF2-BA49-DB5AF84971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86881983"/>
        <c:axId val="686880543"/>
      </c:barChart>
      <c:catAx>
        <c:axId val="686881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80543"/>
        <c:crosses val="autoZero"/>
        <c:auto val="1"/>
        <c:lblAlgn val="ctr"/>
        <c:lblOffset val="100"/>
        <c:noMultiLvlLbl val="0"/>
      </c:catAx>
      <c:valAx>
        <c:axId val="68688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81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Downtime Minutes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96377952755905E-2"/>
          <c:y val="0.38074854091823723"/>
          <c:w val="0.8683695538057743"/>
          <c:h val="0.37128743740046538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N3-Gamma</c:v>
              </c:pt>
              <c:pt idx="1">
                <c:v>N4-Beta</c:v>
              </c:pt>
              <c:pt idx="2">
                <c:v>N5-Alpha</c:v>
              </c:pt>
            </c:strLit>
          </c:cat>
          <c:val>
            <c:numLit>
              <c:formatCode>General</c:formatCode>
              <c:ptCount val="3"/>
              <c:pt idx="0">
                <c:v>205</c:v>
              </c:pt>
              <c:pt idx="1">
                <c:v>115</c:v>
              </c:pt>
              <c:pt idx="2">
                <c:v>282</c:v>
              </c:pt>
            </c:numLit>
          </c:val>
          <c:extLst>
            <c:ext xmlns:c16="http://schemas.microsoft.com/office/drawing/2014/chart" uri="{C3380CC4-5D6E-409C-BE32-E72D297353CC}">
              <c16:uniqueId val="{00000000-9192-427E-9A1D-0691B99F4F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9913343"/>
        <c:axId val="579916703"/>
      </c:barChart>
      <c:catAx>
        <c:axId val="579913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6703"/>
        <c:crosses val="autoZero"/>
        <c:auto val="1"/>
        <c:lblAlgn val="ctr"/>
        <c:lblOffset val="100"/>
        <c:noMultiLvlLbl val="0"/>
      </c:catAx>
      <c:valAx>
        <c:axId val="579916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3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Downtime Minutes by Line</a:t>
            </a:r>
          </a:p>
        </c:rich>
      </c:tx>
      <c:layout>
        <c:manualLayout>
          <c:xMode val="edge"/>
          <c:yMode val="edge"/>
          <c:x val="0.2520396918692086"/>
          <c:y val="0.1494762855061678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081565186031141E-2"/>
          <c:y val="0.32399669449171492"/>
          <c:w val="0.77631959433245723"/>
          <c:h val="0.49129143933396852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L1</c:v>
              </c:pt>
              <c:pt idx="1">
                <c:v>L2</c:v>
              </c:pt>
              <c:pt idx="2">
                <c:v>L3</c:v>
              </c:pt>
            </c:strLit>
          </c:cat>
          <c:val>
            <c:numLit>
              <c:formatCode>General</c:formatCode>
              <c:ptCount val="3"/>
              <c:pt idx="0">
                <c:v>282</c:v>
              </c:pt>
              <c:pt idx="1">
                <c:v>115</c:v>
              </c:pt>
              <c:pt idx="2">
                <c:v>205</c:v>
              </c:pt>
            </c:numLit>
          </c:val>
          <c:extLst>
            <c:ext xmlns:c16="http://schemas.microsoft.com/office/drawing/2014/chart" uri="{C3380CC4-5D6E-409C-BE32-E72D297353CC}">
              <c16:uniqueId val="{00000004-4579-44C5-9FB1-A6D0A01B96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9913823"/>
        <c:axId val="579917663"/>
      </c:barChart>
      <c:catAx>
        <c:axId val="579913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7663"/>
        <c:crosses val="autoZero"/>
        <c:auto val="1"/>
        <c:lblAlgn val="ctr"/>
        <c:lblOffset val="100"/>
        <c:noMultiLvlLbl val="0"/>
      </c:catAx>
      <c:valAx>
        <c:axId val="57991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3823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Defects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</a:schemeClr>
          </a:solidFill>
          <a:ln>
            <a:noFill/>
          </a:ln>
          <a:effectLst/>
        </c:spPr>
        <c:marker>
          <c:spPr>
            <a:solidFill>
              <a:schemeClr val="dk1">
                <a:tint val="88500"/>
              </a:schemeClr>
            </a:solidFill>
            <a:ln w="9525">
              <a:solidFill>
                <a:schemeClr val="dk1">
                  <a:tint val="88500"/>
                </a:schemeClr>
              </a:solidFill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N3-Gamma</c:v>
              </c:pt>
              <c:pt idx="1">
                <c:v>N4-Beta</c:v>
              </c:pt>
              <c:pt idx="2">
                <c:v>N5-Alpha</c:v>
              </c:pt>
            </c:strLit>
          </c:cat>
          <c:val>
            <c:numLit>
              <c:formatCode>General</c:formatCode>
              <c:ptCount val="3"/>
              <c:pt idx="0">
                <c:v>71</c:v>
              </c:pt>
              <c:pt idx="1">
                <c:v>39</c:v>
              </c:pt>
              <c:pt idx="2">
                <c:v>96</c:v>
              </c:pt>
            </c:numLit>
          </c:val>
          <c:extLst>
            <c:ext xmlns:c16="http://schemas.microsoft.com/office/drawing/2014/chart" uri="{C3380CC4-5D6E-409C-BE32-E72D297353CC}">
              <c16:uniqueId val="{00000000-0569-4440-B79B-6E82B6B54E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45111103"/>
        <c:axId val="1345099583"/>
      </c:barChart>
      <c:catAx>
        <c:axId val="134511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099583"/>
        <c:crosses val="autoZero"/>
        <c:auto val="1"/>
        <c:lblAlgn val="ctr"/>
        <c:lblOffset val="100"/>
        <c:noMultiLvlLbl val="0"/>
      </c:catAx>
      <c:valAx>
        <c:axId val="1345099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11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17</xdr:row>
      <xdr:rowOff>53975</xdr:rowOff>
    </xdr:from>
    <xdr:to>
      <xdr:col>3</xdr:col>
      <xdr:colOff>419100</xdr:colOff>
      <xdr:row>27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11C8AF-C1E3-4FF4-A623-B3D7AC833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196850</xdr:colOff>
      <xdr:row>29</xdr:row>
      <xdr:rowOff>15875</xdr:rowOff>
    </xdr:from>
    <xdr:to>
      <xdr:col>7</xdr:col>
      <xdr:colOff>542924</xdr:colOff>
      <xdr:row>39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5C1CEE-373A-496B-BD6F-7BD5E38D7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29</xdr:row>
      <xdr:rowOff>19052</xdr:rowOff>
    </xdr:from>
    <xdr:to>
      <xdr:col>3</xdr:col>
      <xdr:colOff>428625</xdr:colOff>
      <xdr:row>39</xdr:row>
      <xdr:rowOff>104776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67F82D-562E-493F-8AC2-362634C44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209549</xdr:colOff>
      <xdr:row>17</xdr:row>
      <xdr:rowOff>63500</xdr:rowOff>
    </xdr:from>
    <xdr:to>
      <xdr:col>7</xdr:col>
      <xdr:colOff>552449</xdr:colOff>
      <xdr:row>27</xdr:row>
      <xdr:rowOff>111125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222927F-A167-426F-815B-34FED8860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242982</xdr:colOff>
          <xdr:row>17</xdr:row>
          <xdr:rowOff>73771</xdr:rowOff>
        </xdr:from>
        <xdr:to>
          <xdr:col>11</xdr:col>
          <xdr:colOff>183964</xdr:colOff>
          <xdr:row>20</xdr:row>
          <xdr:rowOff>19796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Generate Alert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13E05C8-1882-4508-B5B4-579B463CEEBC}" autoFormatId="16" applyNumberFormats="0" applyBorderFormats="0" applyFontFormats="0" applyPatternFormats="0" applyAlignmentFormats="0" applyWidthHeightFormats="0">
  <queryTableRefresh nextId="11">
    <queryTableFields count="10">
      <queryTableField id="1" name="Date" tableColumnId="1"/>
      <queryTableField id="2" name="Shift" tableColumnId="2"/>
      <queryTableField id="3" name="Line" tableColumnId="3"/>
      <queryTableField id="4" name="Product" tableColumnId="4"/>
      <queryTableField id="5" name="Planned Units" tableColumnId="5"/>
      <queryTableField id="6" name="Actual Units" tableColumnId="6"/>
      <queryTableField id="7" name="Defect Count" tableColumnId="7"/>
      <queryTableField id="8" name="Downtime Min" tableColumnId="8"/>
      <queryTableField id="9" name="Operator" tableColumnId="9"/>
      <queryTableField id="10" name="Statu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3BD9C0-CA9A-4FF1-A61A-27F7E9007C45}" name="KPI_Data" displayName="KPI_Data" ref="A1:J21" tableType="queryTable" totalsRowShown="0">
  <autoFilter ref="A1:J21" xr:uid="{163BD9C0-CA9A-4FF1-A61A-27F7E9007C45}">
    <filterColumn colId="9">
      <filters>
        <filter val="Critical"/>
      </filters>
    </filterColumn>
  </autoFilter>
  <tableColumns count="10">
    <tableColumn id="1" xr3:uid="{44F1C241-879B-4AC0-B6A2-702BE5E821CA}" uniqueName="1" name="Date" queryTableFieldId="1" dataDxfId="13"/>
    <tableColumn id="2" xr3:uid="{9F176447-6876-4B7F-938D-22AEF870C0F5}" uniqueName="2" name="Shift" queryTableFieldId="2" dataDxfId="12"/>
    <tableColumn id="3" xr3:uid="{D5855EB4-F44F-4339-9DF2-BF0483A20EC7}" uniqueName="3" name="Line" queryTableFieldId="3" dataDxfId="11"/>
    <tableColumn id="4" xr3:uid="{A8284DE8-13BC-45B3-B28E-F15CAA4A97C4}" uniqueName="4" name="Product" queryTableFieldId="4" dataDxfId="10"/>
    <tableColumn id="5" xr3:uid="{1BACDF8C-FEFF-4D3C-89BD-CB37B99763BC}" uniqueName="5" name="Planned Units" queryTableFieldId="5"/>
    <tableColumn id="6" xr3:uid="{284B0DA3-EBAD-4E08-856B-C94BF2148833}" uniqueName="6" name="Actual Units" queryTableFieldId="6"/>
    <tableColumn id="7" xr3:uid="{9296853B-7177-4E9C-BD48-A3B4FEE23319}" uniqueName="7" name="Defect Count" queryTableFieldId="7"/>
    <tableColumn id="8" xr3:uid="{C4B0B634-03AB-43CE-BCF2-274CA2FF51C7}" uniqueName="8" name="Downtime Min" queryTableFieldId="8"/>
    <tableColumn id="9" xr3:uid="{C3736D57-954B-4833-92C0-FAB580E2006B}" uniqueName="9" name="Operator" queryTableFieldId="9" dataDxfId="9"/>
    <tableColumn id="10" xr3:uid="{490F143E-B58E-4551-A38B-4BD69BC31348}" uniqueName="10" name="Status" queryTableFieldId="10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AC3AE-2B45-4525-AB21-37B2C1E85990}">
  <sheetPr codeName="Sheet1"/>
  <dimension ref="A1:J21"/>
  <sheetViews>
    <sheetView workbookViewId="0">
      <selection activeCell="A2" sqref="A2:J21"/>
    </sheetView>
  </sheetViews>
  <sheetFormatPr defaultRowHeight="14.5" x14ac:dyDescent="0.35"/>
  <cols>
    <col min="1" max="1" width="9.08984375" bestFit="1" customWidth="1"/>
    <col min="2" max="2" width="7.08984375" bestFit="1" customWidth="1"/>
    <col min="3" max="3" width="6.6328125" bestFit="1" customWidth="1"/>
    <col min="4" max="4" width="10.08984375" bestFit="1" customWidth="1"/>
    <col min="5" max="5" width="14.81640625" bestFit="1" customWidth="1"/>
    <col min="6" max="6" width="13.26953125" bestFit="1" customWidth="1"/>
    <col min="7" max="7" width="14.08984375" bestFit="1" customWidth="1"/>
    <col min="8" max="8" width="15.1796875" bestFit="1" customWidth="1"/>
    <col min="9" max="9" width="10.36328125" bestFit="1" customWidth="1"/>
    <col min="10" max="10" width="8.45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hidden="1" x14ac:dyDescent="0.35">
      <c r="A2" s="1">
        <v>46152</v>
      </c>
      <c r="B2" t="s">
        <v>10</v>
      </c>
      <c r="C2" t="s">
        <v>11</v>
      </c>
      <c r="D2" t="s">
        <v>12</v>
      </c>
      <c r="E2">
        <v>1200</v>
      </c>
      <c r="F2">
        <v>1187</v>
      </c>
      <c r="G2">
        <v>4</v>
      </c>
      <c r="H2">
        <v>12</v>
      </c>
      <c r="I2" t="s">
        <v>13</v>
      </c>
      <c r="J2" t="s">
        <v>14</v>
      </c>
    </row>
    <row r="3" spans="1:10" hidden="1" x14ac:dyDescent="0.35">
      <c r="A3" s="1">
        <v>46152</v>
      </c>
      <c r="B3" t="s">
        <v>10</v>
      </c>
      <c r="C3" t="s">
        <v>15</v>
      </c>
      <c r="D3" t="s">
        <v>16</v>
      </c>
      <c r="E3">
        <v>1400</v>
      </c>
      <c r="F3">
        <v>1320</v>
      </c>
      <c r="G3">
        <v>18</v>
      </c>
      <c r="H3">
        <v>45</v>
      </c>
      <c r="I3" t="s">
        <v>17</v>
      </c>
      <c r="J3" t="s">
        <v>18</v>
      </c>
    </row>
    <row r="4" spans="1:10" hidden="1" x14ac:dyDescent="0.35">
      <c r="A4" s="1">
        <v>46152</v>
      </c>
      <c r="B4" t="s">
        <v>19</v>
      </c>
      <c r="C4" t="s">
        <v>11</v>
      </c>
      <c r="D4" t="s">
        <v>12</v>
      </c>
      <c r="E4">
        <v>1200</v>
      </c>
      <c r="F4">
        <v>1198</v>
      </c>
      <c r="G4">
        <v>2</v>
      </c>
      <c r="H4">
        <v>5</v>
      </c>
      <c r="I4" t="s">
        <v>20</v>
      </c>
      <c r="J4" t="s">
        <v>14</v>
      </c>
    </row>
    <row r="5" spans="1:10" x14ac:dyDescent="0.35">
      <c r="A5" s="1">
        <v>46152</v>
      </c>
      <c r="B5" t="s">
        <v>19</v>
      </c>
      <c r="C5" t="s">
        <v>21</v>
      </c>
      <c r="D5" t="s">
        <v>22</v>
      </c>
      <c r="E5">
        <v>1600</v>
      </c>
      <c r="F5">
        <v>1502</v>
      </c>
      <c r="G5">
        <v>21</v>
      </c>
      <c r="H5">
        <v>60</v>
      </c>
      <c r="I5" t="s">
        <v>23</v>
      </c>
      <c r="J5" t="s">
        <v>24</v>
      </c>
    </row>
    <row r="6" spans="1:10" hidden="1" x14ac:dyDescent="0.35">
      <c r="A6" s="1">
        <v>46153</v>
      </c>
      <c r="B6" t="s">
        <v>10</v>
      </c>
      <c r="C6" t="s">
        <v>15</v>
      </c>
      <c r="D6" t="s">
        <v>16</v>
      </c>
      <c r="E6">
        <v>1400</v>
      </c>
      <c r="F6">
        <v>1395</v>
      </c>
      <c r="G6">
        <v>1</v>
      </c>
      <c r="H6">
        <v>0</v>
      </c>
      <c r="I6" t="s">
        <v>17</v>
      </c>
      <c r="J6" t="s">
        <v>14</v>
      </c>
    </row>
    <row r="7" spans="1:10" hidden="1" x14ac:dyDescent="0.35">
      <c r="A7" s="1">
        <v>46153</v>
      </c>
      <c r="B7" t="s">
        <v>10</v>
      </c>
      <c r="C7" t="s">
        <v>21</v>
      </c>
      <c r="D7" t="s">
        <v>22</v>
      </c>
      <c r="E7">
        <v>1600</v>
      </c>
      <c r="F7">
        <v>1580</v>
      </c>
      <c r="G7">
        <v>7</v>
      </c>
      <c r="H7">
        <v>18</v>
      </c>
      <c r="I7" t="s">
        <v>23</v>
      </c>
      <c r="J7" t="s">
        <v>14</v>
      </c>
    </row>
    <row r="8" spans="1:10" hidden="1" x14ac:dyDescent="0.35">
      <c r="A8" s="1">
        <v>46153</v>
      </c>
      <c r="B8" t="s">
        <v>19</v>
      </c>
      <c r="C8" t="s">
        <v>11</v>
      </c>
      <c r="D8" t="s">
        <v>12</v>
      </c>
      <c r="E8">
        <v>1200</v>
      </c>
      <c r="F8">
        <v>1145</v>
      </c>
      <c r="G8">
        <v>15</v>
      </c>
      <c r="H8">
        <v>38</v>
      </c>
      <c r="I8" t="s">
        <v>20</v>
      </c>
      <c r="J8" t="s">
        <v>18</v>
      </c>
    </row>
    <row r="9" spans="1:10" hidden="1" x14ac:dyDescent="0.35">
      <c r="A9" s="1">
        <v>46153</v>
      </c>
      <c r="B9" t="s">
        <v>19</v>
      </c>
      <c r="C9" t="s">
        <v>15</v>
      </c>
      <c r="D9" t="s">
        <v>16</v>
      </c>
      <c r="E9">
        <v>1400</v>
      </c>
      <c r="F9">
        <v>1410</v>
      </c>
      <c r="G9">
        <v>0</v>
      </c>
      <c r="H9">
        <v>0</v>
      </c>
      <c r="I9" t="s">
        <v>13</v>
      </c>
      <c r="J9" t="s">
        <v>14</v>
      </c>
    </row>
    <row r="10" spans="1:10" hidden="1" x14ac:dyDescent="0.35">
      <c r="A10" s="1">
        <v>46154</v>
      </c>
      <c r="B10" t="s">
        <v>10</v>
      </c>
      <c r="C10" t="s">
        <v>11</v>
      </c>
      <c r="D10" t="s">
        <v>12</v>
      </c>
      <c r="E10">
        <v>1200</v>
      </c>
      <c r="F10">
        <v>1205</v>
      </c>
      <c r="G10">
        <v>0</v>
      </c>
      <c r="H10">
        <v>0</v>
      </c>
      <c r="I10" t="s">
        <v>13</v>
      </c>
      <c r="J10" t="s">
        <v>14</v>
      </c>
    </row>
    <row r="11" spans="1:10" x14ac:dyDescent="0.35">
      <c r="A11" s="1">
        <v>46154</v>
      </c>
      <c r="B11" t="s">
        <v>10</v>
      </c>
      <c r="C11" t="s">
        <v>21</v>
      </c>
      <c r="D11" t="s">
        <v>22</v>
      </c>
      <c r="E11">
        <v>1600</v>
      </c>
      <c r="F11">
        <v>1490</v>
      </c>
      <c r="G11">
        <v>25</v>
      </c>
      <c r="H11">
        <v>72</v>
      </c>
      <c r="I11" t="s">
        <v>23</v>
      </c>
      <c r="J11" t="s">
        <v>24</v>
      </c>
    </row>
    <row r="12" spans="1:10" hidden="1" x14ac:dyDescent="0.35">
      <c r="A12" s="1">
        <v>46154</v>
      </c>
      <c r="B12" t="s">
        <v>19</v>
      </c>
      <c r="C12" t="s">
        <v>15</v>
      </c>
      <c r="D12" t="s">
        <v>16</v>
      </c>
      <c r="E12">
        <v>1400</v>
      </c>
      <c r="F12">
        <v>1378</v>
      </c>
      <c r="G12">
        <v>6</v>
      </c>
      <c r="H12">
        <v>20</v>
      </c>
      <c r="I12" t="s">
        <v>17</v>
      </c>
      <c r="J12" t="s">
        <v>14</v>
      </c>
    </row>
    <row r="13" spans="1:10" x14ac:dyDescent="0.35">
      <c r="A13" s="1">
        <v>46154</v>
      </c>
      <c r="B13" t="s">
        <v>19</v>
      </c>
      <c r="C13" t="s">
        <v>11</v>
      </c>
      <c r="D13" t="s">
        <v>12</v>
      </c>
      <c r="E13">
        <v>1200</v>
      </c>
      <c r="F13">
        <v>1102</v>
      </c>
      <c r="G13">
        <v>30</v>
      </c>
      <c r="H13">
        <v>95</v>
      </c>
      <c r="I13" t="s">
        <v>20</v>
      </c>
      <c r="J13" t="s">
        <v>24</v>
      </c>
    </row>
    <row r="14" spans="1:10" hidden="1" x14ac:dyDescent="0.35">
      <c r="A14" s="1">
        <v>46155</v>
      </c>
      <c r="B14" t="s">
        <v>10</v>
      </c>
      <c r="C14" t="s">
        <v>15</v>
      </c>
      <c r="D14" t="s">
        <v>16</v>
      </c>
      <c r="E14">
        <v>1400</v>
      </c>
      <c r="F14">
        <v>1390</v>
      </c>
      <c r="G14">
        <v>3</v>
      </c>
      <c r="H14">
        <v>10</v>
      </c>
      <c r="I14" t="s">
        <v>17</v>
      </c>
      <c r="J14" t="s">
        <v>14</v>
      </c>
    </row>
    <row r="15" spans="1:10" hidden="1" x14ac:dyDescent="0.35">
      <c r="A15" s="1">
        <v>46155</v>
      </c>
      <c r="B15" t="s">
        <v>10</v>
      </c>
      <c r="C15" t="s">
        <v>21</v>
      </c>
      <c r="D15" t="s">
        <v>22</v>
      </c>
      <c r="E15">
        <v>1600</v>
      </c>
      <c r="F15">
        <v>1612</v>
      </c>
      <c r="G15">
        <v>1</v>
      </c>
      <c r="H15">
        <v>0</v>
      </c>
      <c r="I15" t="s">
        <v>23</v>
      </c>
      <c r="J15" t="s">
        <v>14</v>
      </c>
    </row>
    <row r="16" spans="1:10" hidden="1" x14ac:dyDescent="0.35">
      <c r="A16" s="1">
        <v>46155</v>
      </c>
      <c r="B16" t="s">
        <v>19</v>
      </c>
      <c r="C16" t="s">
        <v>11</v>
      </c>
      <c r="D16" t="s">
        <v>12</v>
      </c>
      <c r="E16">
        <v>1200</v>
      </c>
      <c r="F16">
        <v>1170</v>
      </c>
      <c r="G16">
        <v>9</v>
      </c>
      <c r="H16">
        <v>22</v>
      </c>
      <c r="I16" t="s">
        <v>20</v>
      </c>
      <c r="J16" t="s">
        <v>18</v>
      </c>
    </row>
    <row r="17" spans="1:10" hidden="1" x14ac:dyDescent="0.35">
      <c r="A17" s="1">
        <v>46155</v>
      </c>
      <c r="B17" t="s">
        <v>19</v>
      </c>
      <c r="C17" t="s">
        <v>15</v>
      </c>
      <c r="D17" t="s">
        <v>16</v>
      </c>
      <c r="E17">
        <v>1400</v>
      </c>
      <c r="F17">
        <v>1365</v>
      </c>
      <c r="G17">
        <v>11</v>
      </c>
      <c r="H17">
        <v>40</v>
      </c>
      <c r="I17" t="s">
        <v>13</v>
      </c>
      <c r="J17" t="s">
        <v>18</v>
      </c>
    </row>
    <row r="18" spans="1:10" hidden="1" x14ac:dyDescent="0.35">
      <c r="A18" s="1">
        <v>46156</v>
      </c>
      <c r="B18" t="s">
        <v>10</v>
      </c>
      <c r="C18" t="s">
        <v>11</v>
      </c>
      <c r="D18" t="s">
        <v>12</v>
      </c>
      <c r="E18">
        <v>1200</v>
      </c>
      <c r="F18">
        <v>1199</v>
      </c>
      <c r="G18">
        <v>1</v>
      </c>
      <c r="H18">
        <v>0</v>
      </c>
      <c r="I18" t="s">
        <v>13</v>
      </c>
      <c r="J18" t="s">
        <v>14</v>
      </c>
    </row>
    <row r="19" spans="1:10" hidden="1" x14ac:dyDescent="0.35">
      <c r="A19" s="1">
        <v>46156</v>
      </c>
      <c r="B19" t="s">
        <v>10</v>
      </c>
      <c r="C19" t="s">
        <v>21</v>
      </c>
      <c r="D19" t="s">
        <v>22</v>
      </c>
      <c r="E19">
        <v>1600</v>
      </c>
      <c r="F19">
        <v>1525</v>
      </c>
      <c r="G19">
        <v>17</v>
      </c>
      <c r="H19">
        <v>55</v>
      </c>
      <c r="I19" t="s">
        <v>23</v>
      </c>
      <c r="J19" t="s">
        <v>18</v>
      </c>
    </row>
    <row r="20" spans="1:10" hidden="1" x14ac:dyDescent="0.35">
      <c r="A20" s="1">
        <v>46156</v>
      </c>
      <c r="B20" t="s">
        <v>19</v>
      </c>
      <c r="C20" t="s">
        <v>15</v>
      </c>
      <c r="D20" t="s">
        <v>16</v>
      </c>
      <c r="E20">
        <v>1400</v>
      </c>
      <c r="F20">
        <v>1402</v>
      </c>
      <c r="G20">
        <v>0</v>
      </c>
      <c r="H20">
        <v>0</v>
      </c>
      <c r="I20" t="s">
        <v>17</v>
      </c>
      <c r="J20" t="s">
        <v>14</v>
      </c>
    </row>
    <row r="21" spans="1:10" x14ac:dyDescent="0.35">
      <c r="A21" s="1">
        <v>46156</v>
      </c>
      <c r="B21" t="s">
        <v>19</v>
      </c>
      <c r="C21" t="s">
        <v>11</v>
      </c>
      <c r="D21" t="s">
        <v>12</v>
      </c>
      <c r="E21">
        <v>1200</v>
      </c>
      <c r="F21">
        <v>1088</v>
      </c>
      <c r="G21">
        <v>35</v>
      </c>
      <c r="H21">
        <v>110</v>
      </c>
      <c r="I21" t="s">
        <v>20</v>
      </c>
      <c r="J21" t="s">
        <v>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BF-B61B-4B7D-9760-666CAB9AF212}">
  <sheetPr codeName="Sheet2"/>
  <dimension ref="A1:G31"/>
  <sheetViews>
    <sheetView tabSelected="1" zoomScale="85" zoomScaleNormal="85" workbookViewId="0">
      <selection activeCell="P32" sqref="P32"/>
    </sheetView>
  </sheetViews>
  <sheetFormatPr defaultRowHeight="14.5" x14ac:dyDescent="0.35"/>
  <cols>
    <col min="1" max="1" width="17.08984375" style="3" customWidth="1"/>
    <col min="2" max="2" width="8.90625" bestFit="1" customWidth="1"/>
    <col min="3" max="3" width="18.08984375" customWidth="1"/>
    <col min="4" max="4" width="16.1796875" customWidth="1"/>
    <col min="5" max="5" width="16.453125" customWidth="1"/>
    <col min="6" max="6" width="12.54296875" customWidth="1"/>
    <col min="7" max="7" width="14.7265625" customWidth="1"/>
  </cols>
  <sheetData>
    <row r="1" spans="1:7" x14ac:dyDescent="0.35">
      <c r="A1" s="14" t="str" cm="1">
        <f t="array" ref="A1">TEXT(INDEX(KPI_Data[Date],1), "mm/dd/yy") &amp; " - " &amp; TEXT(INDEX(KPI_Data[Date],ROWS(KPI_Data[Date])), "mm/dd/yy")</f>
        <v>05/10/26 - 05/14/26</v>
      </c>
      <c r="B1" s="15"/>
    </row>
    <row r="2" spans="1:7" x14ac:dyDescent="0.35">
      <c r="A2" s="10" t="s">
        <v>25</v>
      </c>
      <c r="B2" s="7">
        <f>SUM(KPI_Data[Planned Units])</f>
        <v>27400</v>
      </c>
    </row>
    <row r="3" spans="1:7" x14ac:dyDescent="0.35">
      <c r="A3" s="10" t="s">
        <v>26</v>
      </c>
      <c r="B3" s="7">
        <f>SUM(KPI_Data[Actual Units])</f>
        <v>26663</v>
      </c>
    </row>
    <row r="4" spans="1:7" x14ac:dyDescent="0.35">
      <c r="A4" s="10" t="s">
        <v>27</v>
      </c>
      <c r="B4" s="8">
        <f>$B$3/$B$2</f>
        <v>0.97310218978102192</v>
      </c>
    </row>
    <row r="5" spans="1:7" x14ac:dyDescent="0.35">
      <c r="A5" s="10" t="s">
        <v>28</v>
      </c>
      <c r="B5" s="7">
        <f>SUM(KPI_Data[Defect Count])</f>
        <v>206</v>
      </c>
    </row>
    <row r="6" spans="1:7" x14ac:dyDescent="0.35">
      <c r="A6" s="10" t="s">
        <v>29</v>
      </c>
      <c r="B6" s="7">
        <f>SUM(KPI_Data[Downtime Min])</f>
        <v>602</v>
      </c>
    </row>
    <row r="7" spans="1:7" x14ac:dyDescent="0.35">
      <c r="A7" s="10" t="s">
        <v>30</v>
      </c>
      <c r="B7" s="7">
        <f>COUNTIF(KPI_Data[Status], "Critical")</f>
        <v>4</v>
      </c>
    </row>
    <row r="9" spans="1:7" ht="15" thickBot="1" x14ac:dyDescent="0.4"/>
    <row r="10" spans="1:7" ht="15" thickBot="1" x14ac:dyDescent="0.4">
      <c r="A10" s="11" t="s">
        <v>31</v>
      </c>
      <c r="B10" s="12"/>
      <c r="C10" s="12"/>
      <c r="D10" s="12"/>
      <c r="E10" s="12"/>
      <c r="F10" s="12"/>
      <c r="G10" s="13"/>
    </row>
    <row r="11" spans="1:7" s="2" customFormat="1" x14ac:dyDescent="0.35">
      <c r="A11" s="9" t="s">
        <v>32</v>
      </c>
      <c r="B11" s="9" t="s">
        <v>33</v>
      </c>
      <c r="C11" s="9" t="s">
        <v>25</v>
      </c>
      <c r="D11" s="9" t="s">
        <v>26</v>
      </c>
      <c r="E11" s="9" t="s">
        <v>27</v>
      </c>
      <c r="F11" s="9" t="s">
        <v>28</v>
      </c>
      <c r="G11" s="9" t="s">
        <v>29</v>
      </c>
    </row>
    <row r="12" spans="1:7" x14ac:dyDescent="0.35">
      <c r="A12" s="6" t="str" cm="1">
        <f t="array" ref="A12:A15">_xlfn.UNIQUE(KPI_Data[Operator])</f>
        <v>J.Smith</v>
      </c>
      <c r="B12" s="6" t="str" cm="1">
        <f t="array" ref="B12">_xlfn.TEXTJOIN(", ", TRUE, _xlfn.UNIQUE(_xlfn._xlws.FILTER(KPI_Data[Line],KPI_Data[Operator] = $A12, "")))</f>
        <v>L1, L2</v>
      </c>
      <c r="C12" s="7">
        <f>SUMIF(KPI_Data[Operator], $A12, KPI_Data[Planned Units])</f>
        <v>6400</v>
      </c>
      <c r="D12" s="7">
        <f>SUMIF(KPI_Data[Operator], $A12, KPI_Data[Actual Units])</f>
        <v>6366</v>
      </c>
      <c r="E12" s="8">
        <f>$D12/$C12</f>
        <v>0.99468749999999995</v>
      </c>
      <c r="F12" s="7">
        <f>SUMIF(KPI_Data[Operator], $A12, KPI_Data[Defect Count])</f>
        <v>16</v>
      </c>
      <c r="G12" s="7">
        <f>SUMIF(KPI_Data[Operator], $A12, KPI_Data[Downtime Min])</f>
        <v>52</v>
      </c>
    </row>
    <row r="13" spans="1:7" x14ac:dyDescent="0.35">
      <c r="A13" s="6" t="str">
        <v>A.Lee</v>
      </c>
      <c r="B13" s="6" t="str" cm="1">
        <f t="array" ref="B13">_xlfn.TEXTJOIN(", ", TRUE, _xlfn.UNIQUE(_xlfn._xlws.FILTER(KPI_Data[Line],KPI_Data[Operator] = $A13, "")))</f>
        <v>L2</v>
      </c>
      <c r="C13" s="7">
        <f>SUMIF(KPI_Data[Operator], $A13, KPI_Data[Planned Units])</f>
        <v>7000</v>
      </c>
      <c r="D13" s="7">
        <f>SUMIF(KPI_Data[Operator], $A13, KPI_Data[Actual Units])</f>
        <v>6885</v>
      </c>
      <c r="E13" s="8">
        <f>$D13/$C13</f>
        <v>0.98357142857142854</v>
      </c>
      <c r="F13" s="7">
        <f>SUMIF(KPI_Data[Operator], $A13, KPI_Data[Defect Count])</f>
        <v>28</v>
      </c>
      <c r="G13" s="7">
        <f>SUMIF(KPI_Data[Operator], $A13, KPI_Data[Downtime Min])</f>
        <v>75</v>
      </c>
    </row>
    <row r="14" spans="1:7" x14ac:dyDescent="0.35">
      <c r="A14" s="6" t="str">
        <v>R.Jones</v>
      </c>
      <c r="B14" s="6" t="str" cm="1">
        <f t="array" ref="B14">_xlfn.TEXTJOIN(", ", TRUE, _xlfn.UNIQUE(_xlfn._xlws.FILTER(KPI_Data[Line],KPI_Data[Operator] = $A14, "")))</f>
        <v>L1</v>
      </c>
      <c r="C14" s="7">
        <f>SUMIF(KPI_Data[Operator], $A14, KPI_Data[Planned Units])</f>
        <v>6000</v>
      </c>
      <c r="D14" s="7">
        <f>SUMIF(KPI_Data[Operator], $A14, KPI_Data[Actual Units])</f>
        <v>5703</v>
      </c>
      <c r="E14" s="8">
        <f>$D14/$C14</f>
        <v>0.95050000000000001</v>
      </c>
      <c r="F14" s="7">
        <f>SUMIF(KPI_Data[Operator], $A14, KPI_Data[Defect Count])</f>
        <v>91</v>
      </c>
      <c r="G14" s="7">
        <f>SUMIF(KPI_Data[Operator], $A14, KPI_Data[Downtime Min])</f>
        <v>270</v>
      </c>
    </row>
    <row r="15" spans="1:7" x14ac:dyDescent="0.35">
      <c r="A15" s="6" t="str">
        <v>M.Chen</v>
      </c>
      <c r="B15" s="6" t="str" cm="1">
        <f t="array" ref="B15">_xlfn.TEXTJOIN(", ", TRUE, _xlfn.UNIQUE(_xlfn._xlws.FILTER(KPI_Data[Line],KPI_Data[Operator] = $A15, "")))</f>
        <v>L3</v>
      </c>
      <c r="C15" s="7">
        <f>SUMIF(KPI_Data[Operator], $A15, KPI_Data[Planned Units])</f>
        <v>8000</v>
      </c>
      <c r="D15" s="7">
        <f>SUMIF(KPI_Data[Operator], $A15, KPI_Data[Actual Units])</f>
        <v>7709</v>
      </c>
      <c r="E15" s="8">
        <f>$D15/$C15</f>
        <v>0.96362499999999995</v>
      </c>
      <c r="F15" s="7">
        <f>SUMIF(KPI_Data[Operator], $A15, KPI_Data[Defect Count])</f>
        <v>71</v>
      </c>
      <c r="G15" s="7">
        <f>SUMIF(KPI_Data[Operator], $A15, KPI_Data[Downtime Min])</f>
        <v>205</v>
      </c>
    </row>
    <row r="16" spans="1:7" x14ac:dyDescent="0.35">
      <c r="B16" s="5"/>
      <c r="E16" s="4"/>
    </row>
    <row r="17" spans="2:5" x14ac:dyDescent="0.35">
      <c r="B17" s="5"/>
      <c r="E17" s="4"/>
    </row>
    <row r="18" spans="2:5" x14ac:dyDescent="0.35">
      <c r="B18" s="5"/>
      <c r="E18" s="4"/>
    </row>
    <row r="19" spans="2:5" x14ac:dyDescent="0.35">
      <c r="B19" s="5"/>
      <c r="E19" s="4"/>
    </row>
    <row r="20" spans="2:5" x14ac:dyDescent="0.35">
      <c r="B20" s="5"/>
      <c r="E20" s="4"/>
    </row>
    <row r="21" spans="2:5" x14ac:dyDescent="0.35">
      <c r="B21" s="5"/>
      <c r="E21" s="4"/>
    </row>
    <row r="22" spans="2:5" x14ac:dyDescent="0.35">
      <c r="B22" s="5"/>
      <c r="E22" s="4"/>
    </row>
    <row r="23" spans="2:5" x14ac:dyDescent="0.35">
      <c r="B23" s="5"/>
      <c r="E23" s="4"/>
    </row>
    <row r="24" spans="2:5" x14ac:dyDescent="0.35">
      <c r="B24" s="5"/>
      <c r="E24" s="4"/>
    </row>
    <row r="25" spans="2:5" x14ac:dyDescent="0.35">
      <c r="B25" s="5"/>
      <c r="E25" s="4"/>
    </row>
    <row r="26" spans="2:5" x14ac:dyDescent="0.35">
      <c r="B26" s="5"/>
      <c r="E26" s="4"/>
    </row>
    <row r="27" spans="2:5" x14ac:dyDescent="0.35">
      <c r="B27" s="5"/>
      <c r="E27" s="4"/>
    </row>
    <row r="28" spans="2:5" x14ac:dyDescent="0.35">
      <c r="B28" s="5"/>
      <c r="E28" s="4"/>
    </row>
    <row r="29" spans="2:5" x14ac:dyDescent="0.35">
      <c r="B29" s="5"/>
      <c r="E29" s="4"/>
    </row>
    <row r="30" spans="2:5" x14ac:dyDescent="0.35">
      <c r="B30" s="5"/>
      <c r="E30" s="4"/>
    </row>
    <row r="31" spans="2:5" x14ac:dyDescent="0.35">
      <c r="B31" s="5"/>
    </row>
  </sheetData>
  <mergeCells count="2">
    <mergeCell ref="A10:G10"/>
    <mergeCell ref="A1:B1"/>
  </mergeCells>
  <conditionalFormatting sqref="B4">
    <cfRule type="expression" dxfId="7" priority="6">
      <formula>$B$4 &lt; 0.94</formula>
    </cfRule>
    <cfRule type="expression" dxfId="6" priority="7">
      <formula>AND(0.94 &lt;= $B$4, $B$4 &lt; 0.97)</formula>
    </cfRule>
    <cfRule type="expression" dxfId="5" priority="8">
      <formula>$B$4 &gt;= 0.97</formula>
    </cfRule>
  </conditionalFormatting>
  <conditionalFormatting sqref="E12:E31">
    <cfRule type="expression" dxfId="4" priority="2">
      <formula>$E12 &gt;= 0.97</formula>
    </cfRule>
    <cfRule type="expression" dxfId="3" priority="3">
      <formula>AND(0.94 &lt;= $E12, $E12 &lt; 0.97, NOT(ISBLANK($E12)))</formula>
    </cfRule>
    <cfRule type="expression" dxfId="2" priority="4">
      <formula>AND($E12 &lt; 0.94, NOT(ISBLANK($E12)))</formula>
    </cfRule>
  </conditionalFormatting>
  <conditionalFormatting sqref="F12:F31">
    <cfRule type="expression" dxfId="1" priority="5">
      <formula>$F12 &gt; 50</formula>
    </cfRule>
  </conditionalFormatting>
  <conditionalFormatting sqref="G12:G31">
    <cfRule type="expression" dxfId="0" priority="1">
      <formula>$G12 &gt; 200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AlertReport">
                <anchor moveWithCells="1" sizeWithCells="1">
                  <from>
                    <xdr:col>8</xdr:col>
                    <xdr:colOff>241300</xdr:colOff>
                    <xdr:row>17</xdr:row>
                    <xdr:rowOff>76200</xdr:rowOff>
                  </from>
                  <to>
                    <xdr:col>11</xdr:col>
                    <xdr:colOff>184150</xdr:colOff>
                    <xdr:row>20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FB5F0A-A156-4B6B-8EE6-AFDE69CEAD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KPI Data</vt:lpstr>
      <vt:lpstr>Dashboard</vt:lpstr>
      <vt:lpstr>Planned_Units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Waltiere, Richard</dc:creator>
  <cp:lastModifiedBy>Waltiere, Richard</cp:lastModifiedBy>
  <dcterms:created xsi:type="dcterms:W3CDTF">2026-05-17T22:20:04Z</dcterms:created>
  <dcterms:modified xsi:type="dcterms:W3CDTF">2026-05-18T05:18:16Z</dcterms:modified>
</cp:coreProperties>
</file>